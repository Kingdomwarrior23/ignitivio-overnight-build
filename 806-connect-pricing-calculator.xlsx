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Calculator" sheetId="1" state="visible" r:id="rId1"/>
    <sheet name="Industry Benchmarks" sheetId="2" state="visible" r:id="rId2"/>
    <sheet name="Tier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&quot;%&quot;"/>
    <numFmt numFmtId="166" formatCode="0.0&quot;x&quot;"/>
  </numFmts>
  <fonts count="14">
    <font>
      <name val="Calibri"/>
      <family val="2"/>
      <color theme="1"/>
      <sz val="11"/>
      <scheme val="minor"/>
    </font>
    <font>
      <name val="Georgia"/>
      <b val="1"/>
      <color rgb="00FFFFFF"/>
      <sz val="16"/>
    </font>
    <font>
      <name val="Georgia"/>
      <b val="1"/>
      <color rgb="001E2761"/>
      <sz val="12"/>
    </font>
    <font>
      <name val="Calibri"/>
      <b val="1"/>
      <color rgb="001E293B"/>
      <sz val="11"/>
    </font>
    <font>
      <name val="Calibri"/>
      <color rgb="001E293B"/>
      <sz val="12"/>
    </font>
    <font>
      <name val="Calibri"/>
      <i val="1"/>
      <color rgb="0064748B"/>
      <sz val="10"/>
    </font>
    <font>
      <name val="Calibri"/>
      <b val="1"/>
      <color rgb="000D9488"/>
      <sz val="14"/>
    </font>
    <font>
      <name val="Georgia"/>
      <b val="1"/>
      <color rgb="00FFFFFF"/>
      <sz val="14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2"/>
    </font>
    <font>
      <name val="Calibri"/>
      <b val="1"/>
      <color rgb="001E2761"/>
      <sz val="14"/>
    </font>
    <font>
      <name val="Calibri"/>
      <b val="1"/>
      <color rgb="00FFFFFF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FF9E6"/>
        <bgColor rgb="00FFF9E6"/>
      </patternFill>
    </fill>
    <fill>
      <patternFill patternType="solid">
        <fgColor rgb="00E6FFE6"/>
        <bgColor rgb="00E6FFE6"/>
      </patternFill>
    </fill>
    <fill>
      <patternFill patternType="solid">
        <fgColor rgb="000D9488"/>
        <bgColor rgb="000D9488"/>
      </patternFill>
    </fill>
    <fill>
      <patternFill patternType="solid">
        <fgColor rgb="00F1F5F9"/>
        <bgColor rgb="00F1F5F9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0" pivotButton="0" quotePrefix="0" xfId="0"/>
    <xf numFmtId="164" fontId="4" fillId="3" borderId="1" pivotButton="0" quotePrefix="0" xfId="0"/>
    <xf numFmtId="165" fontId="4" fillId="3" borderId="1" pivotButton="0" quotePrefix="0" xfId="0"/>
    <xf numFmtId="164" fontId="6" fillId="4" borderId="1" pivotButton="0" quotePrefix="0" xfId="0"/>
    <xf numFmtId="165" fontId="6" fillId="4" borderId="1" pivotButton="0" quotePrefix="0" xfId="0"/>
    <xf numFmtId="1" fontId="6" fillId="4" borderId="1" pivotButton="0" quotePrefix="0" xfId="0"/>
    <xf numFmtId="166" fontId="6" fillId="4" borderId="1" pivotButton="0" quotePrefix="0" xfId="0"/>
    <xf numFmtId="0" fontId="7" fillId="2" borderId="0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1" pivotButton="0" quotePrefix="0" xfId="0"/>
    <xf numFmtId="164" fontId="9" fillId="0" borderId="1" pivotButton="0" quotePrefix="0" xfId="0"/>
    <xf numFmtId="9" fontId="9" fillId="0" borderId="1" pivotButton="0" quotePrefix="0" xfId="0"/>
    <xf numFmtId="0" fontId="9" fillId="6" borderId="1" pivotButton="0" quotePrefix="0" xfId="0"/>
    <xf numFmtId="164" fontId="9" fillId="6" borderId="1" pivotButton="0" quotePrefix="0" xfId="0"/>
    <xf numFmtId="9" fontId="9" fillId="6" borderId="1" pivotButton="0" quotePrefix="0" xfId="0"/>
    <xf numFmtId="0" fontId="10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0" fontId="13" fillId="7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E6FFE6"/>
          <bgColor rgb="00E6FFE6"/>
        </patternFill>
      </fill>
    </dxf>
    <dxf>
      <fill>
        <patternFill patternType="solid">
          <fgColor rgb="00FFE6E6"/>
          <bgColor rgb="00FF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B2:D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40" customWidth="1" min="4" max="4"/>
  </cols>
  <sheetData>
    <row r="2">
      <c r="B2" s="1" t="inlineStr">
        <is>
          <t>806 CONNECT - PRICING CALCULATOR</t>
        </is>
      </c>
    </row>
    <row r="4">
      <c r="B4" s="3" t="inlineStr">
        <is>
          <t>CLIENT INFORMATION</t>
        </is>
      </c>
    </row>
    <row r="5">
      <c r="B5" s="4" t="inlineStr">
        <is>
          <t>Niche / Industry:</t>
        </is>
      </c>
      <c r="C5" s="5" t="inlineStr">
        <is>
          <t>Plumber</t>
        </is>
      </c>
      <c r="D5" s="6" t="inlineStr">
        <is>
          <t>Presets: Food Truck, Market Vendor, Solopreneur, Plumber, HVAC, etc.</t>
        </is>
      </c>
    </row>
    <row r="6">
      <c r="B6" s="4" t="inlineStr">
        <is>
          <t>Average Cost Per Lead:</t>
        </is>
      </c>
      <c r="C6" s="7" t="n">
        <v>85</v>
      </c>
      <c r="D6" s="6" t="inlineStr">
        <is>
          <t>Industry benchmark from Lead Data tab</t>
        </is>
      </c>
    </row>
    <row r="7">
      <c r="B7" s="4" t="inlineStr">
        <is>
          <t>Avg Job/Appointment Value:</t>
        </is>
      </c>
      <c r="C7" s="7" t="n">
        <v>350</v>
      </c>
      <c r="D7" s="6" t="inlineStr">
        <is>
          <t>What one closed deal is worth</t>
        </is>
      </c>
    </row>
    <row r="8">
      <c r="B8" s="4" t="inlineStr">
        <is>
          <t>Close Rate (%):</t>
        </is>
      </c>
      <c r="C8" s="8" t="n">
        <v>35</v>
      </c>
      <c r="D8" s="6" t="inlineStr">
        <is>
          <t>Typical close rate for this niche</t>
        </is>
      </c>
    </row>
    <row r="9">
      <c r="B9" s="4" t="inlineStr">
        <is>
          <t>Leads Needed Per Month:</t>
        </is>
      </c>
      <c r="C9" s="5" t="n">
        <v>10</v>
      </c>
      <c r="D9" s="6" t="inlineStr">
        <is>
          <t>How many leads to hit revenue goal</t>
        </is>
      </c>
    </row>
    <row r="10">
      <c r="B10" s="4" t="inlineStr">
        <is>
          <t>Our Monthly Investment:</t>
        </is>
      </c>
      <c r="C10" s="7" t="n">
        <v>1497</v>
      </c>
      <c r="D10" s="6" t="inlineStr">
        <is>
          <t>For $1 spent, they get $X back</t>
        </is>
      </c>
    </row>
    <row r="12">
      <c r="B12" s="3" t="inlineStr">
        <is>
          <t>ROI CALCULATION</t>
        </is>
      </c>
    </row>
    <row r="13">
      <c r="B13" s="4" t="inlineStr">
        <is>
          <t>Total Lead Value (CPL x Leads):</t>
        </is>
      </c>
      <c r="C13" s="9">
        <f>C6*C9</f>
        <v/>
      </c>
    </row>
    <row r="14">
      <c r="B14" s="4" t="inlineStr">
        <is>
          <t>Expected Client Revenue:</t>
        </is>
      </c>
      <c r="C14" s="9">
        <f>C7*C9*(C8/100)</f>
        <v/>
      </c>
    </row>
    <row r="15">
      <c r="B15" s="4" t="inlineStr">
        <is>
          <t>Client ROI (%):</t>
        </is>
      </c>
      <c r="C15" s="10">
        <f>(C14-C10)/C10*100</f>
        <v/>
      </c>
    </row>
    <row r="16">
      <c r="B16" s="4" t="inlineStr">
        <is>
          <t>Cost Per Acquisition:</t>
        </is>
      </c>
      <c r="C16" s="9">
        <f>C10/(C9*(C8/100))</f>
        <v/>
      </c>
    </row>
    <row r="17">
      <c r="B17" s="4" t="inlineStr">
        <is>
          <t>Breakeven Leads Needed:</t>
        </is>
      </c>
      <c r="C17" s="11">
        <f>ROUNDUP(C10/(C7*(C8/100)),0)</f>
        <v/>
      </c>
    </row>
    <row r="18">
      <c r="B18" s="4" t="inlineStr">
        <is>
          <t>Revenue Multiple:</t>
        </is>
      </c>
      <c r="C18" s="12">
        <f>C14/C10</f>
        <v/>
      </c>
    </row>
  </sheetData>
  <mergeCells count="1">
    <mergeCell ref="B2:D2"/>
  </mergeCells>
  <conditionalFormatting sqref="C15">
    <cfRule type="cellIs" priority="1" operator="greaterThan" dxfId="0">
      <formula>0</formula>
    </cfRule>
    <cfRule type="cellIs" priority="2" operator="lessThanOrEqual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3" t="inlineStr">
        <is>
          <t>INDUSTRY BENCHMARKS - LUBBOCK TX MARKET DATA (ALL BUSINESS TYPES)</t>
        </is>
      </c>
    </row>
    <row r="2">
      <c r="A2" s="14" t="inlineStr">
        <is>
          <t>Industry</t>
        </is>
      </c>
      <c r="B2" s="14" t="inlineStr">
        <is>
          <t>Avg CPL</t>
        </is>
      </c>
      <c r="C2" s="14" t="inlineStr">
        <is>
          <t>Avg Job Value</t>
        </is>
      </c>
      <c r="D2" s="14" t="inlineStr">
        <is>
          <t>Close Rate</t>
        </is>
      </c>
      <c r="E2" s="14" t="inlineStr">
        <is>
          <t>Value per Lead</t>
        </is>
      </c>
    </row>
    <row r="3">
      <c r="A3" s="15" t="inlineStr">
        <is>
          <t>Plumbing</t>
        </is>
      </c>
      <c r="B3" s="16" t="n">
        <v>85</v>
      </c>
      <c r="C3" s="16" t="n">
        <v>350</v>
      </c>
      <c r="D3" s="17" t="n">
        <v>0.35</v>
      </c>
      <c r="E3" s="16">
        <f>B2*C2*D2</f>
        <v/>
      </c>
    </row>
    <row r="4">
      <c r="A4" s="18" t="inlineStr">
        <is>
          <t>HVAC</t>
        </is>
      </c>
      <c r="B4" s="19" t="n">
        <v>105</v>
      </c>
      <c r="C4" s="19" t="n">
        <v>450</v>
      </c>
      <c r="D4" s="20" t="n">
        <v>0.4</v>
      </c>
      <c r="E4" s="19">
        <f>B3*C3*D3</f>
        <v/>
      </c>
    </row>
    <row r="5">
      <c r="A5" s="15" t="inlineStr">
        <is>
          <t>Roofing</t>
        </is>
      </c>
      <c r="B5" s="16" t="n">
        <v>140</v>
      </c>
      <c r="C5" s="16" t="n">
        <v>1000</v>
      </c>
      <c r="D5" s="17" t="n">
        <v>0.3</v>
      </c>
      <c r="E5" s="16">
        <f>B4*C4*D4</f>
        <v/>
      </c>
    </row>
    <row r="6">
      <c r="A6" s="18" t="inlineStr">
        <is>
          <t>Electrical</t>
        </is>
      </c>
      <c r="B6" s="19" t="n">
        <v>100</v>
      </c>
      <c r="C6" s="19" t="n">
        <v>375</v>
      </c>
      <c r="D6" s="20" t="n">
        <v>0.35</v>
      </c>
      <c r="E6" s="19">
        <f>B5*C5*D5</f>
        <v/>
      </c>
    </row>
    <row r="7">
      <c r="A7" s="15" t="inlineStr">
        <is>
          <t>Remodeling</t>
        </is>
      </c>
      <c r="B7" s="16" t="n">
        <v>125</v>
      </c>
      <c r="C7" s="16" t="n">
        <v>3000</v>
      </c>
      <c r="D7" s="17" t="n">
        <v>0.25</v>
      </c>
      <c r="E7" s="16">
        <f>B6*C6*D6</f>
        <v/>
      </c>
    </row>
    <row r="8">
      <c r="A8" s="18" t="inlineStr">
        <is>
          <t>Dental</t>
        </is>
      </c>
      <c r="B8" s="19" t="n">
        <v>200</v>
      </c>
      <c r="C8" s="19" t="n">
        <v>400</v>
      </c>
      <c r="D8" s="20" t="n">
        <v>0.5</v>
      </c>
      <c r="E8" s="19">
        <f>B7*C7*D7</f>
        <v/>
      </c>
    </row>
    <row r="9">
      <c r="A9" s="15" t="inlineStr">
        <is>
          <t>Med Spa</t>
        </is>
      </c>
      <c r="B9" s="16" t="n">
        <v>275</v>
      </c>
      <c r="C9" s="16" t="n">
        <v>750</v>
      </c>
      <c r="D9" s="17" t="n">
        <v>0.4</v>
      </c>
      <c r="E9" s="16">
        <f>B8*C8*D8</f>
        <v/>
      </c>
    </row>
    <row r="10">
      <c r="A10" s="18" t="inlineStr">
        <is>
          <t>Lawyer/Legal</t>
        </is>
      </c>
      <c r="B10" s="19" t="n">
        <v>500</v>
      </c>
      <c r="C10" s="19" t="n">
        <v>3000</v>
      </c>
      <c r="D10" s="20" t="n">
        <v>0.2</v>
      </c>
      <c r="E10" s="19">
        <f>B9*C9*D9</f>
        <v/>
      </c>
    </row>
    <row r="11">
      <c r="A11" s="15" t="inlineStr">
        <is>
          <t>Real Estate</t>
        </is>
      </c>
      <c r="B11" s="16" t="n">
        <v>140</v>
      </c>
      <c r="C11" s="16" t="n">
        <v>8000</v>
      </c>
      <c r="D11" s="17" t="n">
        <v>0.1</v>
      </c>
      <c r="E11" s="16">
        <f>B10*C10*D10</f>
        <v/>
      </c>
    </row>
    <row r="12">
      <c r="A12" s="18" t="inlineStr">
        <is>
          <t>Auto Dealer</t>
        </is>
      </c>
      <c r="B12" s="19" t="n">
        <v>250</v>
      </c>
      <c r="C12" s="19" t="n">
        <v>3500</v>
      </c>
      <c r="D12" s="20" t="n">
        <v>0.15</v>
      </c>
      <c r="E12" s="19">
        <f>B11*C11*D11</f>
        <v/>
      </c>
    </row>
    <row r="13">
      <c r="A13" s="15" t="inlineStr">
        <is>
          <t>Restaurant</t>
        </is>
      </c>
      <c r="B13" s="16" t="n">
        <v>30</v>
      </c>
      <c r="C13" s="16" t="n">
        <v>50</v>
      </c>
      <c r="D13" s="17" t="n">
        <v>0</v>
      </c>
      <c r="E13" s="16">
        <f>B12*C12</f>
        <v/>
      </c>
    </row>
    <row r="14">
      <c r="A14" s="18" t="inlineStr">
        <is>
          <t>Hair Salon</t>
        </is>
      </c>
      <c r="B14" s="19" t="n">
        <v>35</v>
      </c>
      <c r="C14" s="19" t="n">
        <v>75</v>
      </c>
      <c r="D14" s="20" t="n">
        <v>0</v>
      </c>
      <c r="E14" s="19">
        <f>B13*C13</f>
        <v/>
      </c>
    </row>
    <row r="15">
      <c r="A15" s="15" t="inlineStr">
        <is>
          <t>Food Truck</t>
        </is>
      </c>
      <c r="B15" s="16" t="n">
        <v>25</v>
      </c>
      <c r="C15" s="16" t="n">
        <v>35</v>
      </c>
      <c r="D15" s="17" t="n">
        <v>0</v>
      </c>
      <c r="E15" s="16">
        <f>B15*C15</f>
        <v/>
      </c>
    </row>
    <row r="16">
      <c r="A16" s="18" t="inlineStr">
        <is>
          <t>Farmers Market Vendor</t>
        </is>
      </c>
      <c r="B16" s="19" t="n">
        <v>15</v>
      </c>
      <c r="C16" s="19" t="n">
        <v>25</v>
      </c>
      <c r="D16" s="20" t="n">
        <v>0</v>
      </c>
      <c r="E16" s="19">
        <f>B16*C16</f>
        <v/>
      </c>
    </row>
    <row r="17">
      <c r="A17" s="15" t="inlineStr">
        <is>
          <t>Solopreneur/Coach</t>
        </is>
      </c>
      <c r="B17" s="16" t="n">
        <v>40</v>
      </c>
      <c r="C17" s="16" t="n">
        <v>200</v>
      </c>
      <c r="D17" s="17" t="n">
        <v>0.2</v>
      </c>
      <c r="E17" s="16">
        <f>B17*C17*D17</f>
        <v/>
      </c>
    </row>
    <row r="18">
      <c r="A18" s="18" t="inlineStr">
        <is>
          <t>Side Hustle/Side Gig</t>
        </is>
      </c>
      <c r="B18" s="19" t="n">
        <v>10</v>
      </c>
      <c r="C18" s="19" t="n">
        <v>50</v>
      </c>
      <c r="D18" s="20" t="n">
        <v>0</v>
      </c>
      <c r="E18" s="19">
        <f>B18*C18</f>
        <v/>
      </c>
    </row>
    <row r="19">
      <c r="A19" s="15" t="inlineStr">
        <is>
          <t>Pop-up Shop/Event Vendor</t>
        </is>
      </c>
      <c r="B19" s="16" t="n">
        <v>20</v>
      </c>
      <c r="C19" s="16" t="n">
        <v>30</v>
      </c>
      <c r="D19" s="17" t="n">
        <v>0</v>
      </c>
      <c r="E19" s="16">
        <f>B19*C19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3" t="inlineStr">
        <is>
          <t>806 CONNECT - SERVICE TIERS (ALL LEVELS)</t>
        </is>
      </c>
    </row>
    <row r="2">
      <c r="A2" s="21" t="inlineStr">
        <is>
          <t>Feature</t>
        </is>
      </c>
      <c r="B2" s="21" t="inlineStr">
        <is>
          <t>ESSENTIALS</t>
        </is>
      </c>
      <c r="C2" s="22" t="inlineStr">
        <is>
          <t>LAUNCH</t>
        </is>
      </c>
      <c r="D2" s="21" t="inlineStr">
        <is>
          <t>GROW</t>
        </is>
      </c>
      <c r="E2" s="21" t="inlineStr">
        <is>
          <t>DOMINATE</t>
        </is>
      </c>
      <c r="F2" t="inlineStr">
        <is>
          <t>SCALE</t>
        </is>
      </c>
    </row>
    <row r="3">
      <c r="A3" s="23" t="inlineStr">
        <is>
          <t>Monthly Price</t>
        </is>
      </c>
      <c r="B3" s="24" t="inlineStr">
        <is>
          <t>$297</t>
        </is>
      </c>
      <c r="C3" s="24" t="inlineStr">
        <is>
          <t>$797</t>
        </is>
      </c>
      <c r="D3" s="24" t="inlineStr">
        <is>
          <t>$1,497</t>
        </is>
      </c>
      <c r="E3" s="24" t="inlineStr">
        <is>
          <t>$2,497</t>
        </is>
      </c>
      <c r="F3" s="24" t="inlineStr">
        <is>
          <t>$3,997</t>
        </is>
      </c>
    </row>
    <row r="4">
      <c r="A4" s="25" t="inlineStr">
        <is>
          <t>Platforms Managed</t>
        </is>
      </c>
      <c r="B4" s="26" t="inlineStr">
        <is>
          <t>1</t>
        </is>
      </c>
      <c r="C4" s="26" t="inlineStr">
        <is>
          <t>2</t>
        </is>
      </c>
      <c r="D4" s="26" t="inlineStr">
        <is>
          <t>4</t>
        </is>
      </c>
      <c r="E4" s="26" t="inlineStr">
        <is>
          <t>All</t>
        </is>
      </c>
      <c r="F4" s="26" t="inlineStr">
        <is>
          <t>All</t>
        </is>
      </c>
    </row>
    <row r="5">
      <c r="A5" s="23" t="inlineStr">
        <is>
          <t>Posts Per Month</t>
        </is>
      </c>
      <c r="B5" s="27" t="inlineStr">
        <is>
          <t>8</t>
        </is>
      </c>
      <c r="C5" s="27" t="inlineStr">
        <is>
          <t>12</t>
        </is>
      </c>
      <c r="D5" s="27" t="inlineStr">
        <is>
          <t>20</t>
        </is>
      </c>
      <c r="E5" s="27" t="inlineStr">
        <is>
          <t>30+</t>
        </is>
      </c>
      <c r="F5" s="27" t="inlineStr">
        <is>
          <t>30+</t>
        </is>
      </c>
    </row>
    <row r="6">
      <c r="A6" s="25" t="inlineStr">
        <is>
          <t>AI Chatbot</t>
        </is>
      </c>
      <c r="B6" s="26" t="inlineStr">
        <is>
          <t>Basic FAQ</t>
        </is>
      </c>
      <c r="C6" s="26" t="inlineStr">
        <is>
          <t>Basic</t>
        </is>
      </c>
      <c r="D6" s="26" t="inlineStr">
        <is>
          <t>+ Booking</t>
        </is>
      </c>
      <c r="E6" s="26" t="inlineStr">
        <is>
          <t>+ Voice Agent</t>
        </is>
      </c>
      <c r="F6" s="26" t="inlineStr">
        <is>
          <t>Full Suite</t>
        </is>
      </c>
    </row>
    <row r="7">
      <c r="A7" s="23" t="inlineStr">
        <is>
          <t>Reputation Mgmt</t>
        </is>
      </c>
      <c r="B7" s="27" t="inlineStr">
        <is>
          <t>No</t>
        </is>
      </c>
      <c r="C7" s="27" t="inlineStr">
        <is>
          <t>No</t>
        </is>
      </c>
      <c r="D7" s="27" t="inlineStr">
        <is>
          <t>Yes</t>
        </is>
      </c>
      <c r="E7" s="27" t="inlineStr">
        <is>
          <t>Yes</t>
        </is>
      </c>
      <c r="F7" s="27" t="inlineStr">
        <is>
          <t>Yes</t>
        </is>
      </c>
    </row>
    <row r="8">
      <c r="A8" s="25" t="inlineStr">
        <is>
          <t>Google Ads Mgmt</t>
        </is>
      </c>
      <c r="B8" s="26" t="inlineStr">
        <is>
          <t>No</t>
        </is>
      </c>
      <c r="C8" s="26" t="inlineStr">
        <is>
          <t>No</t>
        </is>
      </c>
      <c r="D8" s="26" t="inlineStr">
        <is>
          <t>No</t>
        </is>
      </c>
      <c r="E8" s="26" t="inlineStr">
        <is>
          <t>Up to $1K</t>
        </is>
      </c>
      <c r="F8" s="26" t="inlineStr">
        <is>
          <t>Up to $3K</t>
        </is>
      </c>
    </row>
    <row r="9">
      <c r="A9" s="23" t="inlineStr">
        <is>
          <t>Strategy Calls</t>
        </is>
      </c>
      <c r="B9" s="27" t="inlineStr">
        <is>
          <t>None (async)</t>
        </is>
      </c>
      <c r="C9" s="27" t="inlineStr">
        <is>
          <t>Monthly</t>
        </is>
      </c>
      <c r="D9" s="27" t="inlineStr">
        <is>
          <t>Bi-weekly</t>
        </is>
      </c>
      <c r="E9" s="27" t="inlineStr">
        <is>
          <t>Weekly</t>
        </is>
      </c>
      <c r="F9" s="27" t="inlineStr">
        <is>
          <t>In-person</t>
        </is>
      </c>
    </row>
    <row r="10">
      <c r="A10" s="25" t="inlineStr">
        <is>
          <t>AI Clone Content</t>
        </is>
      </c>
      <c r="B10" s="26" t="inlineStr">
        <is>
          <t>No</t>
        </is>
      </c>
      <c r="C10" s="26" t="inlineStr">
        <is>
          <t>No</t>
        </is>
      </c>
      <c r="D10" s="26" t="inlineStr">
        <is>
          <t>No</t>
        </is>
      </c>
      <c r="E10" s="26" t="inlineStr">
        <is>
          <t>12 pcs/mo</t>
        </is>
      </c>
      <c r="F10" s="26" t="inlineStr">
        <is>
          <t>Unlimited</t>
        </is>
      </c>
    </row>
    <row r="11">
      <c r="A11" s="23" t="inlineStr">
        <is>
          <t>CRM Setup</t>
        </is>
      </c>
      <c r="B11" s="27" t="inlineStr">
        <is>
          <t>Basic contact list</t>
        </is>
      </c>
      <c r="C11" s="27" t="inlineStr">
        <is>
          <t>Basic</t>
        </is>
      </c>
      <c r="D11" s="27" t="inlineStr">
        <is>
          <t>Full</t>
        </is>
      </c>
      <c r="E11" s="27" t="inlineStr">
        <is>
          <t>Full+Pipeline</t>
        </is>
      </c>
      <c r="F11" s="27" t="inlineStr">
        <is>
          <t>Multi-location</t>
        </is>
      </c>
    </row>
    <row r="12">
      <c r="A12" s="25" t="inlineStr">
        <is>
          <t>Lead Notifs</t>
        </is>
      </c>
      <c r="B12" s="26" t="inlineStr">
        <is>
          <t>Weekly digest</t>
        </is>
      </c>
      <c r="C12" s="26" t="inlineStr">
        <is>
          <t>Weekly report</t>
        </is>
      </c>
      <c r="D12" s="26" t="inlineStr">
        <is>
          <t>Real-time</t>
        </is>
      </c>
      <c r="E12" s="26" t="inlineStr">
        <is>
          <t>Real-time+app</t>
        </is>
      </c>
      <c r="F12" s="26" t="inlineStr">
        <is>
          <t>Real-time+app</t>
        </is>
      </c>
    </row>
    <row r="13">
      <c r="A13" s="23" t="inlineStr">
        <is>
          <t>Best For</t>
        </is>
      </c>
      <c r="B13" s="27" t="inlineStr">
        <is>
          <t>Food trucks
Market vendors
Solopreneurs</t>
        </is>
      </c>
      <c r="C13" s="27" t="inlineStr">
        <is>
          <t>Restaurants
Hair Salons</t>
        </is>
      </c>
      <c r="D13" s="27" t="inlineStr">
        <is>
          <t>Plumbers
HVAC
Dental</t>
        </is>
      </c>
      <c r="E13" s="27" t="inlineStr">
        <is>
          <t>Lawyers
Med Spas
Auto Dealers</t>
        </is>
      </c>
      <c r="F13" s="27" t="inlineStr">
        <is>
          <t>Multi-location
Growth accounts</t>
        </is>
      </c>
    </row>
    <row r="14">
      <c r="C14" s="30" t="inlineStr"/>
      <c r="D14" s="28" t="inlineStr">
        <is>
          <t>MOST POPULAR</t>
        </is>
      </c>
      <c r="E14" s="29" t="n"/>
    </row>
  </sheetData>
  <mergeCells count="1">
    <mergeCell ref="D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2026-04-30T02:22:13Z</dcterms:created>
  <dcterms:modified xsi:type="dcterms:W3CDTF">2026-04-30T03:21:00Z</dcterms:modified>
</cp:coreProperties>
</file>